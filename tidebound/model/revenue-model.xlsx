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odel" sheetId="2" state="visible" r:id="rId4"/>
    <sheet name="Scenario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Planning assumption from the brief (catalog.json planning.dailyPlayers).</t>
        </r>
      </text>
    </comment>
    <comment ref="B20" authorId="0">
      <text>
        <r>
          <rPr>
            <sz val="10"/>
            <rFont val="Arial"/>
            <family val="2"/>
          </rPr>
          <t xml:space="preserve">Apple Small Business Program rate (brief). Enrolment is on the store checklist.</t>
        </r>
      </text>
    </comment>
    <comment ref="B21" authorId="0">
      <text>
        <r>
          <rPr>
            <sz val="10"/>
            <rFont val="Arial"/>
            <family val="2"/>
          </rPr>
          <t xml:space="preserve">Brief: 15% on the first $1M of annual earnings.</t>
        </r>
      </text>
    </comment>
    <comment ref="B22" authorId="0">
      <text>
        <r>
          <rPr>
            <sz val="10"/>
            <rFont val="Arial"/>
            <family val="2"/>
          </rPr>
          <t xml:space="preserve">Google's standard rate above the threshold.</t>
        </r>
      </text>
    </comment>
    <comment ref="B24" authorId="0">
      <text>
        <r>
          <rPr>
            <sz val="10"/>
            <rFont val="Arial"/>
            <family val="2"/>
          </rPr>
          <t xml:space="preserve">Assumption: 50/50. Both stores charge 15% at launch scale, so the mix does not change the default result.</t>
        </r>
      </text>
    </comment>
    <comment ref="B28" authorId="0">
      <text>
        <r>
          <rPr>
            <sz val="10"/>
            <rFont val="Arial"/>
            <family val="2"/>
          </rPr>
          <t xml:space="preserve">Brief: Robux price = USD price / 0.01.</t>
        </r>
      </text>
    </comment>
    <comment ref="B29" authorId="0">
      <text>
        <r>
          <rPr>
            <sz val="10"/>
            <rFont val="Arial"/>
            <family val="2"/>
          </rPr>
          <t xml:space="preserve">Brief: Roblox keeps 30% of each sale.</t>
        </r>
      </text>
    </comment>
    <comment ref="B30" authorId="0">
      <text>
        <r>
          <rPr>
            <sz val="10"/>
            <rFont val="Arial"/>
            <family val="2"/>
          </rPr>
          <t xml:space="preserve">Brief: $0.0038 per earned Robux.</t>
        </r>
      </text>
    </comment>
    <comment ref="B31" authorId="0">
      <text>
        <r>
          <rPr>
            <sz val="10"/>
            <rFont val="Arial"/>
            <family val="2"/>
          </rPr>
          <t xml:space="preserve">Engagement-based Premium Payouts. Unknown before launch; 0 keeps the planning comparison.</t>
        </r>
      </text>
    </comment>
    <comment ref="B34" authorId="0">
      <text>
        <r>
          <rPr>
            <sz val="10"/>
            <rFont val="Arial"/>
            <family val="2"/>
          </rPr>
          <t xml:space="preserve">Brief default: $400/month.</t>
        </r>
      </text>
    </comment>
    <comment ref="B35" authorId="0">
      <text>
        <r>
          <rPr>
            <sz val="10"/>
            <rFont val="Arial"/>
            <family val="2"/>
          </rPr>
          <t xml:space="preserve">Brief default: $1,000/month.</t>
        </r>
      </text>
    </comment>
    <comment ref="B36" authorId="0">
      <text>
        <r>
          <rPr>
            <sz val="10"/>
            <rFont val="Arial"/>
            <family val="2"/>
          </rPr>
          <t xml:space="preserve">Default 0 to match the brief's comparison. A small host for /backend costs about $5-20/month.</t>
        </r>
      </text>
    </comment>
    <comment ref="B37" authorId="0">
      <text>
        <r>
          <rPr>
            <sz val="10"/>
            <rFont val="Arial"/>
            <family val="2"/>
          </rPr>
          <t xml:space="preserve">Default 0 to match the brief's comparison, which gives Roblox no fixed costs.</t>
        </r>
      </text>
    </comment>
    <comment ref="C8" authorId="0">
      <text>
        <r>
          <rPr>
            <sz val="10"/>
            <rFont val="Arial"/>
            <family val="2"/>
          </rPr>
          <t xml:space="preserve">Share of daily players who buy this per month. Planning assumption from the brief; gem bundles have no planning rate (0).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6" authorId="0">
      <text>
        <r>
          <rPr>
            <sz val="10"/>
            <rFont val="Arial"/>
            <family val="2"/>
          </rPr>
          <t xml:space="preserve">Value stated in the brief.</t>
        </r>
      </text>
    </comment>
    <comment ref="B27" authorId="0">
      <text>
        <r>
          <rPr>
            <sz val="10"/>
            <rFont val="Arial"/>
            <family val="2"/>
          </rPr>
          <t xml:space="preserve">Value stated in the brief.</t>
        </r>
      </text>
    </comment>
    <comment ref="B28" authorId="0">
      <text>
        <r>
          <rPr>
            <sz val="10"/>
            <rFont val="Arial"/>
            <family val="2"/>
          </rPr>
          <t xml:space="preserve">Value stated in the brief.</t>
        </r>
      </text>
    </comment>
    <comment ref="B29" authorId="0">
      <text>
        <r>
          <rPr>
            <sz val="10"/>
            <rFont val="Arial"/>
            <family val="2"/>
          </rPr>
          <t xml:space="preserve">Value stated in the brief.</t>
        </r>
      </text>
    </comment>
    <comment ref="B30" authorId="0">
      <text>
        <r>
          <rPr>
            <sz val="10"/>
            <rFont val="Arial"/>
            <family val="2"/>
          </rPr>
          <t xml:space="preserve">Value stated in the brief.</t>
        </r>
      </text>
    </comment>
    <comment ref="B31" authorId="0">
      <text>
        <r>
          <rPr>
            <sz val="10"/>
            <rFont val="Arial"/>
            <family val="2"/>
          </rPr>
          <t xml:space="preserve">Value stated in the brief.</t>
        </r>
      </text>
    </comment>
    <comment ref="B32" authorId="0">
      <text>
        <r>
          <rPr>
            <sz val="10"/>
            <rFont val="Arial"/>
            <family val="2"/>
          </rPr>
          <t xml:space="preserve">Value stated in the brief.</t>
        </r>
      </text>
    </comment>
  </commentList>
</comments>
</file>

<file path=xl/sharedStrings.xml><?xml version="1.0" encoding="utf-8"?>
<sst xmlns="http://schemas.openxmlformats.org/spreadsheetml/2006/main" count="111" uniqueCount="99">
  <si>
    <t xml:space="preserve">Tidebound revenue model - inputs</t>
  </si>
  <si>
    <t xml:space="preserve">Blue cells are inputs (copied from shared/config/catalog.json; edit here to explore). Yellow = key assumptions. Black cells are formulas.</t>
  </si>
  <si>
    <t xml:space="preserve">Daily players (DAU)</t>
  </si>
  <si>
    <t xml:space="preserve">Products</t>
  </si>
  <si>
    <t xml:space="preserve">Product</t>
  </si>
  <si>
    <t xml:space="preserve">Price (USD)</t>
  </si>
  <si>
    <t xml:space="preserve">Monthly buy rate</t>
  </si>
  <si>
    <t xml:space="preserve">Robux price</t>
  </si>
  <si>
    <t xml:space="preserve">Spend per DAU ($)</t>
  </si>
  <si>
    <t xml:space="preserve">Store type</t>
  </si>
  <si>
    <t xml:space="preserve">gems_handful</t>
  </si>
  <si>
    <t xml:space="preserve">developerProduct</t>
  </si>
  <si>
    <t xml:space="preserve">gems_pouch</t>
  </si>
  <si>
    <t xml:space="preserve">gems_chest</t>
  </si>
  <si>
    <t xml:space="preserve">gems_hoard</t>
  </si>
  <si>
    <t xml:space="preserve">gems_vault</t>
  </si>
  <si>
    <t xml:space="preserve">starter_pack</t>
  </si>
  <si>
    <t xml:space="preserve">gamePass</t>
  </si>
  <si>
    <t xml:space="preserve">cosmetic_crate</t>
  </si>
  <si>
    <t xml:space="preserve">harbor_pass</t>
  </si>
  <si>
    <t xml:space="preserve">harbor_club</t>
  </si>
  <si>
    <t xml:space="preserve">subscription</t>
  </si>
  <si>
    <t xml:space="preserve">storage_pass</t>
  </si>
  <si>
    <t xml:space="preserve">Standalone app platform fees</t>
  </si>
  <si>
    <t xml:space="preserve">iOS commission (Small Business Program)</t>
  </si>
  <si>
    <t xml:space="preserve">Google Play rate, first $1M per year</t>
  </si>
  <si>
    <t xml:space="preserve">Google Play rate above $1M per year</t>
  </si>
  <si>
    <t xml:space="preserve">Google Play threshold ($ per year)</t>
  </si>
  <si>
    <t xml:space="preserve">Platform mix: iOS share of spend</t>
  </si>
  <si>
    <t xml:space="preserve">Platform mix: Google share of spend</t>
  </si>
  <si>
    <t xml:space="preserve">Roblox payouts</t>
  </si>
  <si>
    <t xml:space="preserve">USD per Robux (price mapping)</t>
  </si>
  <si>
    <t xml:space="preserve">Roblox platform fee</t>
  </si>
  <si>
    <t xml:space="preserve">DevEx cash-out ($ per earned Robux)</t>
  </si>
  <si>
    <t xml:space="preserve">Premium payouts ($ per DAU per month)</t>
  </si>
  <si>
    <t xml:space="preserve">Fixed monthly costs</t>
  </si>
  <si>
    <t xml:space="preserve">Standalone: backend</t>
  </si>
  <si>
    <t xml:space="preserve">Standalone: marketing</t>
  </si>
  <si>
    <t xml:space="preserve">Roblox: companion backend</t>
  </si>
  <si>
    <t xml:space="preserve">Roblox: marketing (sponsored ads)</t>
  </si>
  <si>
    <t xml:space="preserve">Tidebound revenue model - outputs (all formulas)</t>
  </si>
  <si>
    <t xml:space="preserve">Metric</t>
  </si>
  <si>
    <t xml:space="preserve">Standalone app</t>
  </si>
  <si>
    <t xml:space="preserve">Roblox</t>
  </si>
  <si>
    <t xml:space="preserve">Formula</t>
  </si>
  <si>
    <t xml:space="preserve">Daily players</t>
  </si>
  <si>
    <t xml:space="preserve">Input</t>
  </si>
  <si>
    <t xml:space="preserve">Spend per daily player per month</t>
  </si>
  <si>
    <t xml:space="preserve">Sum of price x monthly buy rate</t>
  </si>
  <si>
    <t xml:space="preserve">Gross monthly player spend</t>
  </si>
  <si>
    <t xml:space="preserve">DAU x spend per DAU</t>
  </si>
  <si>
    <t xml:space="preserve">Gross annual player spend</t>
  </si>
  <si>
    <t xml:space="preserve">Monthly x 12</t>
  </si>
  <si>
    <t xml:space="preserve">Google Play rate applied</t>
  </si>
  <si>
    <t xml:space="preserve">15% until Google spend passes $1M/year</t>
  </si>
  <si>
    <t xml:space="preserve">Platform share of spend</t>
  </si>
  <si>
    <t xml:space="preserve">Standalone: blended store fee. Roblox: 1 - keep rate</t>
  </si>
  <si>
    <t xml:space="preserve">Developer keep rate</t>
  </si>
  <si>
    <t xml:space="preserve">Roblox: (1 - 30%) x DevEx $ per Robux / $ per Robux</t>
  </si>
  <si>
    <t xml:space="preserve">Platform fee ($ per month)</t>
  </si>
  <si>
    <t xml:space="preserve">Gross x platform share</t>
  </si>
  <si>
    <t xml:space="preserve">Premium Payouts ($ per month)</t>
  </si>
  <si>
    <t xml:space="preserve">Roblox only</t>
  </si>
  <si>
    <t xml:space="preserve">Net revenue per month</t>
  </si>
  <si>
    <t xml:space="preserve">Gross - fee + payouts</t>
  </si>
  <si>
    <t xml:space="preserve">Net revenue per year</t>
  </si>
  <si>
    <t xml:space="preserve">Fixed costs per month</t>
  </si>
  <si>
    <t xml:space="preserve">Backend + marketing</t>
  </si>
  <si>
    <t xml:space="preserve">Profit per month</t>
  </si>
  <si>
    <t xml:space="preserve">Net - fixed costs</t>
  </si>
  <si>
    <t xml:space="preserve">Profit per year</t>
  </si>
  <si>
    <t xml:space="preserve">Net margin per daily player per month</t>
  </si>
  <si>
    <t xml:space="preserve">Spend per DAU x keep rate (+ payouts)</t>
  </si>
  <si>
    <t xml:space="preserve">Break-even daily players</t>
  </si>
  <si>
    <t xml:space="preserve">Fixed costs / margin per DAU</t>
  </si>
  <si>
    <t xml:space="preserve">Crossover: daily players where standalone profit overtakes Roblox</t>
  </si>
  <si>
    <t xml:space="preserve">(Standalone fixed - Roblox fixed) / (standalone margin - Roblox margin)</t>
  </si>
  <si>
    <t xml:space="preserve">Planning check (numbers from the brief)</t>
  </si>
  <si>
    <t xml:space="preserve">Brief</t>
  </si>
  <si>
    <t xml:space="preserve">Model</t>
  </si>
  <si>
    <t xml:space="preserve">Difference</t>
  </si>
  <si>
    <t xml:space="preserve">Gross per month at 10,000 DAU</t>
  </si>
  <si>
    <t xml:space="preserve">Net of 15% store cut per month</t>
  </si>
  <si>
    <t xml:space="preserve">Standalone break-even DAU</t>
  </si>
  <si>
    <t xml:space="preserve">Roblox keep rate</t>
  </si>
  <si>
    <t xml:space="preserve">Crossover DAU</t>
  </si>
  <si>
    <t xml:space="preserve">Differences: break-even is 10,936 (brief rounds to ~11,000); Roblox keep is 26.6% (0.7 x 0.0038 / 0.01; brief rounds to 27%); crossover is ~15,900 (brief ~16,000) and assumes Roblox has no fixed costs.</t>
  </si>
  <si>
    <t xml:space="preserve">Profit by daily players (uses Model and Inputs)</t>
  </si>
  <si>
    <t xml:space="preserve">Gross / month</t>
  </si>
  <si>
    <t xml:space="preserve">Standalone profit / month</t>
  </si>
  <si>
    <t xml:space="preserve">Roblox profit / month</t>
  </si>
  <si>
    <t xml:space="preserve">Better option</t>
  </si>
  <si>
    <t xml:space="preserve">How to use: change blue cells on Inputs. Every output on Model and Scenarios recalculates.</t>
  </si>
  <si>
    <t xml:space="preserve">Source of defaults: shared/config/catalog.json (prices, buy rates, fees, Roblox mapping, costs). Regenerate with python3 model/build_model.py after editing config.</t>
  </si>
  <si>
    <t xml:space="preserve">Gem bundles have no planning buy rate in the brief, so they contribute 0 by default. Add rates on Inputs to include them.</t>
  </si>
  <si>
    <t xml:space="preserve">Roblox keep rate = (1 - platform fee) x DevEx rate / USD per Robux = 0.7 x 0.0038 / 0.01 = 26.6% of player spend.</t>
  </si>
  <si>
    <t xml:space="preserve">Roblox Subscriptions pay out differently from Robux sales; the model applies the same keep rate to Harbor Club. Check the current Roblox subscription payout terms before relying on it.</t>
  </si>
  <si>
    <t xml:space="preserve">The brief's crossover (~16,000 DAU) assumes Roblox has no fixed costs. With the same $1,000 marketing on both, the crossover falls to about 4,500 DAU (see Inputs Roblox costs).</t>
  </si>
  <si>
    <t xml:space="preserve">Tidebound ships on Roblox. With $1,000/month marketing on Roblox, break-even there is about 25,000 DAU at the planning buy rates.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</si>
</sst>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#,##0.00;&quot;($&quot;#,##0.00\);\-"/>
    <numFmt numFmtId="167" formatCode="0.0%;\(0.0%\);\-"/>
    <numFmt numFmtId="168" formatCode="\$#,##0.0000;&quot;($&quot;#,##0.0000\);\-"/>
    <numFmt numFmtId="169" formatCode="\$#,##0;&quot;($&quot;#,##0\);\-"/>
    <numFmt numFmtId="170" formatCode="0.000"/>
    <numFmt numFmtId="171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39.5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5" t="n">
        <v>10000</v>
      </c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4" t="s">
        <v>3</v>
      </c>
      <c r="B6" s="2"/>
      <c r="C6" s="2"/>
      <c r="D6" s="2"/>
      <c r="E6" s="2"/>
      <c r="F6" s="2"/>
    </row>
    <row r="7" customFormat="false" ht="15" hidden="false" customHeight="fals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8" customFormat="false" ht="15" hidden="false" customHeight="false" outlineLevel="0" collapsed="false">
      <c r="A8" s="7" t="s">
        <v>10</v>
      </c>
      <c r="B8" s="8" t="n">
        <v>0.99</v>
      </c>
      <c r="C8" s="9" t="n">
        <v>0</v>
      </c>
      <c r="D8" s="10" t="n">
        <f aca="false">ROUND(B8/$B$28,0)</f>
        <v>99</v>
      </c>
      <c r="E8" s="11" t="n">
        <f aca="false">B8*C8</f>
        <v>0</v>
      </c>
      <c r="F8" s="7" t="s">
        <v>11</v>
      </c>
    </row>
    <row r="9" customFormat="false" ht="15" hidden="false" customHeight="false" outlineLevel="0" collapsed="false">
      <c r="A9" s="7" t="s">
        <v>12</v>
      </c>
      <c r="B9" s="8" t="n">
        <v>4.99</v>
      </c>
      <c r="C9" s="9" t="n">
        <v>0</v>
      </c>
      <c r="D9" s="10" t="n">
        <f aca="false">ROUND(B9/$B$28,0)</f>
        <v>499</v>
      </c>
      <c r="E9" s="11" t="n">
        <f aca="false">B9*C9</f>
        <v>0</v>
      </c>
      <c r="F9" s="7" t="s">
        <v>11</v>
      </c>
    </row>
    <row r="10" customFormat="false" ht="15" hidden="false" customHeight="false" outlineLevel="0" collapsed="false">
      <c r="A10" s="7" t="s">
        <v>13</v>
      </c>
      <c r="B10" s="8" t="n">
        <v>9.99</v>
      </c>
      <c r="C10" s="9" t="n">
        <v>0</v>
      </c>
      <c r="D10" s="10" t="n">
        <f aca="false">ROUND(B10/$B$28,0)</f>
        <v>999</v>
      </c>
      <c r="E10" s="11" t="n">
        <f aca="false">B10*C10</f>
        <v>0</v>
      </c>
      <c r="F10" s="7" t="s">
        <v>11</v>
      </c>
    </row>
    <row r="11" customFormat="false" ht="15" hidden="false" customHeight="false" outlineLevel="0" collapsed="false">
      <c r="A11" s="7" t="s">
        <v>14</v>
      </c>
      <c r="B11" s="8" t="n">
        <v>19.99</v>
      </c>
      <c r="C11" s="9" t="n">
        <v>0</v>
      </c>
      <c r="D11" s="10" t="n">
        <f aca="false">ROUND(B11/$B$28,0)</f>
        <v>1999</v>
      </c>
      <c r="E11" s="11" t="n">
        <f aca="false">B11*C11</f>
        <v>0</v>
      </c>
      <c r="F11" s="7" t="s">
        <v>11</v>
      </c>
    </row>
    <row r="12" customFormat="false" ht="15" hidden="false" customHeight="false" outlineLevel="0" collapsed="false">
      <c r="A12" s="7" t="s">
        <v>15</v>
      </c>
      <c r="B12" s="8" t="n">
        <v>49.99</v>
      </c>
      <c r="C12" s="9" t="n">
        <v>0</v>
      </c>
      <c r="D12" s="10" t="n">
        <f aca="false">ROUND(B12/$B$28,0)</f>
        <v>4999</v>
      </c>
      <c r="E12" s="11" t="n">
        <f aca="false">B12*C12</f>
        <v>0</v>
      </c>
      <c r="F12" s="7" t="s">
        <v>11</v>
      </c>
    </row>
    <row r="13" customFormat="false" ht="15" hidden="false" customHeight="false" outlineLevel="0" collapsed="false">
      <c r="A13" s="7" t="s">
        <v>16</v>
      </c>
      <c r="B13" s="8" t="n">
        <v>2.99</v>
      </c>
      <c r="C13" s="9" t="n">
        <v>0.01</v>
      </c>
      <c r="D13" s="10" t="n">
        <f aca="false">ROUND(B13/$B$28,0)</f>
        <v>299</v>
      </c>
      <c r="E13" s="11" t="n">
        <f aca="false">B13*C13</f>
        <v>0.0299</v>
      </c>
      <c r="F13" s="7" t="s">
        <v>17</v>
      </c>
    </row>
    <row r="14" customFormat="false" ht="15" hidden="false" customHeight="false" outlineLevel="0" collapsed="false">
      <c r="A14" s="7" t="s">
        <v>18</v>
      </c>
      <c r="B14" s="8" t="n">
        <v>1.99</v>
      </c>
      <c r="C14" s="9" t="n">
        <v>0.012</v>
      </c>
      <c r="D14" s="10" t="n">
        <f aca="false">ROUND(B14/$B$28,0)</f>
        <v>199</v>
      </c>
      <c r="E14" s="11" t="n">
        <f aca="false">B14*C14</f>
        <v>0.02388</v>
      </c>
      <c r="F14" s="7" t="s">
        <v>11</v>
      </c>
    </row>
    <row r="15" customFormat="false" ht="15" hidden="false" customHeight="false" outlineLevel="0" collapsed="false">
      <c r="A15" s="7" t="s">
        <v>19</v>
      </c>
      <c r="B15" s="8" t="n">
        <v>4.99</v>
      </c>
      <c r="C15" s="9" t="n">
        <v>0.008</v>
      </c>
      <c r="D15" s="10" t="n">
        <f aca="false">ROUND(B15/$B$28,0)</f>
        <v>499</v>
      </c>
      <c r="E15" s="11" t="n">
        <f aca="false">B15*C15</f>
        <v>0.03992</v>
      </c>
      <c r="F15" s="7" t="s">
        <v>11</v>
      </c>
    </row>
    <row r="16" customFormat="false" ht="15" hidden="false" customHeight="false" outlineLevel="0" collapsed="false">
      <c r="A16" s="7" t="s">
        <v>20</v>
      </c>
      <c r="B16" s="8" t="n">
        <v>4.99</v>
      </c>
      <c r="C16" s="9" t="n">
        <v>0.005</v>
      </c>
      <c r="D16" s="10" t="n">
        <f aca="false">ROUND(B16/$B$28,0)</f>
        <v>499</v>
      </c>
      <c r="E16" s="11" t="n">
        <f aca="false">B16*C16</f>
        <v>0.02495</v>
      </c>
      <c r="F16" s="7" t="s">
        <v>21</v>
      </c>
    </row>
    <row r="17" customFormat="false" ht="15" hidden="false" customHeight="false" outlineLevel="0" collapsed="false">
      <c r="A17" s="7" t="s">
        <v>22</v>
      </c>
      <c r="B17" s="8" t="n">
        <v>7.99</v>
      </c>
      <c r="C17" s="9" t="n">
        <v>0.004</v>
      </c>
      <c r="D17" s="10" t="n">
        <f aca="false">ROUND(B17/$B$28,0)</f>
        <v>799</v>
      </c>
      <c r="E17" s="11" t="n">
        <f aca="false">B17*C17</f>
        <v>0.03196</v>
      </c>
      <c r="F17" s="7" t="s">
        <v>17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4" t="s">
        <v>23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7" t="s">
        <v>24</v>
      </c>
      <c r="B20" s="12" t="n">
        <v>0.15</v>
      </c>
      <c r="C20" s="2"/>
      <c r="D20" s="2"/>
      <c r="E20" s="2"/>
      <c r="F20" s="2"/>
    </row>
    <row r="21" customFormat="false" ht="15" hidden="false" customHeight="false" outlineLevel="0" collapsed="false">
      <c r="A21" s="7" t="s">
        <v>25</v>
      </c>
      <c r="B21" s="12" t="n">
        <v>0.15</v>
      </c>
      <c r="C21" s="2"/>
      <c r="D21" s="2"/>
      <c r="E21" s="2"/>
      <c r="F21" s="2"/>
    </row>
    <row r="22" customFormat="false" ht="15" hidden="false" customHeight="false" outlineLevel="0" collapsed="false">
      <c r="A22" s="7" t="s">
        <v>26</v>
      </c>
      <c r="B22" s="12" t="n">
        <v>0.3</v>
      </c>
      <c r="C22" s="2"/>
      <c r="D22" s="2"/>
      <c r="E22" s="2"/>
      <c r="F22" s="2"/>
    </row>
    <row r="23" customFormat="false" ht="15" hidden="false" customHeight="false" outlineLevel="0" collapsed="false">
      <c r="A23" s="7" t="s">
        <v>27</v>
      </c>
      <c r="B23" s="13" t="n">
        <v>1000000</v>
      </c>
      <c r="C23" s="2"/>
      <c r="D23" s="2"/>
      <c r="E23" s="2"/>
      <c r="F23" s="2"/>
    </row>
    <row r="24" customFormat="false" ht="15" hidden="false" customHeight="false" outlineLevel="0" collapsed="false">
      <c r="A24" s="7" t="s">
        <v>28</v>
      </c>
      <c r="B24" s="12" t="n">
        <v>0.5</v>
      </c>
      <c r="C24" s="2"/>
      <c r="D24" s="2"/>
      <c r="E24" s="2"/>
      <c r="F24" s="2"/>
    </row>
    <row r="25" customFormat="false" ht="15" hidden="false" customHeight="false" outlineLevel="0" collapsed="false">
      <c r="A25" s="7" t="s">
        <v>29</v>
      </c>
      <c r="B25" s="12" t="n">
        <v>0.5</v>
      </c>
      <c r="C25" s="2"/>
      <c r="D25" s="2"/>
      <c r="E25" s="2"/>
      <c r="F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</row>
    <row r="27" customFormat="false" ht="15" hidden="false" customHeight="false" outlineLevel="0" collapsed="false">
      <c r="A27" s="4" t="s">
        <v>30</v>
      </c>
      <c r="B27" s="2"/>
      <c r="C27" s="2"/>
      <c r="D27" s="2"/>
      <c r="E27" s="2"/>
      <c r="F27" s="2"/>
    </row>
    <row r="28" customFormat="false" ht="15" hidden="false" customHeight="false" outlineLevel="0" collapsed="false">
      <c r="A28" s="7" t="s">
        <v>31</v>
      </c>
      <c r="B28" s="14" t="n">
        <v>0.01</v>
      </c>
      <c r="C28" s="2"/>
      <c r="D28" s="2"/>
      <c r="E28" s="2"/>
      <c r="F28" s="2"/>
    </row>
    <row r="29" customFormat="false" ht="15" hidden="false" customHeight="false" outlineLevel="0" collapsed="false">
      <c r="A29" s="7" t="s">
        <v>32</v>
      </c>
      <c r="B29" s="12" t="n">
        <v>0.3</v>
      </c>
      <c r="C29" s="2"/>
      <c r="D29" s="2"/>
      <c r="E29" s="2"/>
      <c r="F29" s="2"/>
    </row>
    <row r="30" customFormat="false" ht="15" hidden="false" customHeight="false" outlineLevel="0" collapsed="false">
      <c r="A30" s="7" t="s">
        <v>33</v>
      </c>
      <c r="B30" s="15" t="n">
        <v>0.0038</v>
      </c>
      <c r="C30" s="2"/>
      <c r="D30" s="2"/>
      <c r="E30" s="2"/>
      <c r="F30" s="2"/>
    </row>
    <row r="31" customFormat="false" ht="15" hidden="false" customHeight="false" outlineLevel="0" collapsed="false">
      <c r="A31" s="7" t="s">
        <v>34</v>
      </c>
      <c r="B31" s="16" t="n">
        <v>0</v>
      </c>
      <c r="C31" s="2"/>
      <c r="D31" s="2"/>
      <c r="E31" s="2"/>
      <c r="F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</row>
    <row r="33" customFormat="false" ht="15" hidden="false" customHeight="false" outlineLevel="0" collapsed="false">
      <c r="A33" s="4" t="s">
        <v>35</v>
      </c>
      <c r="B33" s="2"/>
      <c r="C33" s="2"/>
      <c r="D33" s="2"/>
      <c r="E33" s="2"/>
      <c r="F33" s="2"/>
    </row>
    <row r="34" customFormat="false" ht="15" hidden="false" customHeight="false" outlineLevel="0" collapsed="false">
      <c r="A34" s="7" t="s">
        <v>36</v>
      </c>
      <c r="B34" s="13" t="n">
        <v>400</v>
      </c>
      <c r="C34" s="2"/>
      <c r="D34" s="2"/>
      <c r="E34" s="2"/>
      <c r="F34" s="2"/>
    </row>
    <row r="35" customFormat="false" ht="15" hidden="false" customHeight="false" outlineLevel="0" collapsed="false">
      <c r="A35" s="7" t="s">
        <v>37</v>
      </c>
      <c r="B35" s="13" t="n">
        <v>1000</v>
      </c>
      <c r="C35" s="2"/>
      <c r="D35" s="2"/>
      <c r="E35" s="2"/>
      <c r="F35" s="2"/>
    </row>
    <row r="36" customFormat="false" ht="15" hidden="false" customHeight="false" outlineLevel="0" collapsed="false">
      <c r="A36" s="7" t="s">
        <v>38</v>
      </c>
      <c r="B36" s="13" t="n">
        <v>0</v>
      </c>
      <c r="C36" s="2"/>
      <c r="D36" s="2"/>
      <c r="E36" s="2"/>
      <c r="F36" s="2"/>
    </row>
    <row r="37" customFormat="false" ht="15" hidden="false" customHeight="false" outlineLevel="0" collapsed="false">
      <c r="A37" s="7" t="s">
        <v>39</v>
      </c>
      <c r="B37" s="13" t="n">
        <v>0</v>
      </c>
      <c r="C37" s="2"/>
      <c r="D37" s="2"/>
      <c r="E37" s="2"/>
      <c r="F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40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6" t="s">
        <v>41</v>
      </c>
      <c r="B3" s="6" t="s">
        <v>42</v>
      </c>
      <c r="C3" s="6" t="s">
        <v>43</v>
      </c>
      <c r="D3" s="6" t="s">
        <v>44</v>
      </c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7" t="s">
        <v>45</v>
      </c>
      <c r="B5" s="17" t="n">
        <f aca="false">Inputs!$B$4</f>
        <v>10000</v>
      </c>
      <c r="C5" s="17" t="n">
        <f aca="false">Inputs!$B$4</f>
        <v>10000</v>
      </c>
      <c r="D5" s="7" t="s">
        <v>46</v>
      </c>
    </row>
    <row r="6" customFormat="false" ht="15" hidden="false" customHeight="false" outlineLevel="0" collapsed="false">
      <c r="A6" s="7" t="s">
        <v>47</v>
      </c>
      <c r="B6" s="18" t="n">
        <f aca="false">SUM(Inputs!$E$8:$E$17)</f>
        <v>0.15061</v>
      </c>
      <c r="C6" s="18" t="n">
        <f aca="false">SUM(Inputs!$E$8:$E$17)</f>
        <v>0.15061</v>
      </c>
      <c r="D6" s="7" t="s">
        <v>48</v>
      </c>
    </row>
    <row r="7" customFormat="false" ht="15" hidden="false" customHeight="false" outlineLevel="0" collapsed="false">
      <c r="A7" s="7" t="s">
        <v>49</v>
      </c>
      <c r="B7" s="19" t="n">
        <f aca="false">B5*B6</f>
        <v>1506.1</v>
      </c>
      <c r="C7" s="19" t="n">
        <f aca="false">C5*C6</f>
        <v>1506.1</v>
      </c>
      <c r="D7" s="7" t="s">
        <v>50</v>
      </c>
    </row>
    <row r="8" customFormat="false" ht="15" hidden="false" customHeight="false" outlineLevel="0" collapsed="false">
      <c r="A8" s="7" t="s">
        <v>51</v>
      </c>
      <c r="B8" s="19" t="n">
        <f aca="false">B7*12</f>
        <v>18073.2</v>
      </c>
      <c r="C8" s="19" t="n">
        <f aca="false">C7*12</f>
        <v>18073.2</v>
      </c>
      <c r="D8" s="7" t="s">
        <v>52</v>
      </c>
    </row>
    <row r="9" customFormat="false" ht="15" hidden="false" customHeight="false" outlineLevel="0" collapsed="false">
      <c r="A9" s="7" t="s">
        <v>53</v>
      </c>
      <c r="B9" s="20" t="n">
        <f aca="false">IF(B8*Inputs!$B$25&gt;Inputs!$B$23,Inputs!$B$22,Inputs!$B$21)</f>
        <v>0.15</v>
      </c>
      <c r="C9" s="2"/>
      <c r="D9" s="7" t="s">
        <v>54</v>
      </c>
    </row>
    <row r="10" customFormat="false" ht="15" hidden="false" customHeight="false" outlineLevel="0" collapsed="false">
      <c r="A10" s="7" t="s">
        <v>55</v>
      </c>
      <c r="B10" s="21" t="n">
        <f aca="false">Inputs!$B$20*Inputs!$B$24+B9*Inputs!$B$25</f>
        <v>0.15</v>
      </c>
      <c r="C10" s="20" t="n">
        <f aca="false">1-C11</f>
        <v>0.734</v>
      </c>
      <c r="D10" s="7" t="s">
        <v>56</v>
      </c>
    </row>
    <row r="11" customFormat="false" ht="15" hidden="false" customHeight="false" outlineLevel="0" collapsed="false">
      <c r="A11" s="7" t="s">
        <v>57</v>
      </c>
      <c r="B11" s="20" t="n">
        <f aca="false">1-B10</f>
        <v>0.85</v>
      </c>
      <c r="C11" s="20" t="n">
        <f aca="false">(1-Inputs!$B$29)*Inputs!$B$30/Inputs!$B$28</f>
        <v>0.266</v>
      </c>
      <c r="D11" s="7" t="s">
        <v>58</v>
      </c>
    </row>
    <row r="12" customFormat="false" ht="15" hidden="false" customHeight="false" outlineLevel="0" collapsed="false">
      <c r="A12" s="7" t="s">
        <v>59</v>
      </c>
      <c r="B12" s="19" t="n">
        <f aca="false">B7*B10</f>
        <v>225.915</v>
      </c>
      <c r="C12" s="19" t="n">
        <f aca="false">C7*C10</f>
        <v>1105.4774</v>
      </c>
      <c r="D12" s="7" t="s">
        <v>60</v>
      </c>
    </row>
    <row r="13" customFormat="false" ht="15" hidden="false" customHeight="false" outlineLevel="0" collapsed="false">
      <c r="A13" s="7" t="s">
        <v>61</v>
      </c>
      <c r="B13" s="19" t="n">
        <f aca="false">0</f>
        <v>0</v>
      </c>
      <c r="C13" s="22" t="n">
        <f aca="false">Inputs!$B$31*C5</f>
        <v>0</v>
      </c>
      <c r="D13" s="7" t="s">
        <v>62</v>
      </c>
    </row>
    <row r="14" customFormat="false" ht="15" hidden="false" customHeight="false" outlineLevel="0" collapsed="false">
      <c r="A14" s="7" t="s">
        <v>63</v>
      </c>
      <c r="B14" s="19" t="n">
        <f aca="false">B7-B12+B13</f>
        <v>1280.185</v>
      </c>
      <c r="C14" s="19" t="n">
        <f aca="false">C7-C12+C13</f>
        <v>400.6226</v>
      </c>
      <c r="D14" s="7" t="s">
        <v>64</v>
      </c>
    </row>
    <row r="15" customFormat="false" ht="15" hidden="false" customHeight="false" outlineLevel="0" collapsed="false">
      <c r="A15" s="7" t="s">
        <v>65</v>
      </c>
      <c r="B15" s="19" t="n">
        <f aca="false">B14*12</f>
        <v>15362.22</v>
      </c>
      <c r="C15" s="19" t="n">
        <f aca="false">C14*12</f>
        <v>4807.4712</v>
      </c>
      <c r="D15" s="7" t="s">
        <v>52</v>
      </c>
    </row>
    <row r="16" customFormat="false" ht="15" hidden="false" customHeight="false" outlineLevel="0" collapsed="false">
      <c r="A16" s="7" t="s">
        <v>66</v>
      </c>
      <c r="B16" s="22" t="n">
        <f aca="false">Inputs!$B$34+Inputs!$B$35</f>
        <v>1400</v>
      </c>
      <c r="C16" s="22" t="n">
        <f aca="false">Inputs!$B$36+Inputs!$B$37</f>
        <v>0</v>
      </c>
      <c r="D16" s="7" t="s">
        <v>67</v>
      </c>
    </row>
    <row r="17" customFormat="false" ht="15" hidden="false" customHeight="false" outlineLevel="0" collapsed="false">
      <c r="A17" s="7" t="s">
        <v>68</v>
      </c>
      <c r="B17" s="19" t="n">
        <f aca="false">B14-B16</f>
        <v>-119.815</v>
      </c>
      <c r="C17" s="19" t="n">
        <f aca="false">C14-C16</f>
        <v>400.6226</v>
      </c>
      <c r="D17" s="7" t="s">
        <v>69</v>
      </c>
    </row>
    <row r="18" customFormat="false" ht="15" hidden="false" customHeight="false" outlineLevel="0" collapsed="false">
      <c r="A18" s="7" t="s">
        <v>70</v>
      </c>
      <c r="B18" s="19" t="n">
        <f aca="false">B17*12</f>
        <v>-1437.78</v>
      </c>
      <c r="C18" s="19" t="n">
        <f aca="false">C17*12</f>
        <v>4807.4712</v>
      </c>
      <c r="D18" s="7" t="s">
        <v>52</v>
      </c>
    </row>
    <row r="19" customFormat="false" ht="15" hidden="false" customHeight="false" outlineLevel="0" collapsed="false">
      <c r="A19" s="7" t="s">
        <v>71</v>
      </c>
      <c r="B19" s="18" t="n">
        <f aca="false">B6*B11</f>
        <v>0.1280185</v>
      </c>
      <c r="C19" s="18" t="n">
        <f aca="false">C6*C11+Inputs!$B$31</f>
        <v>0.04006226</v>
      </c>
      <c r="D19" s="7" t="s">
        <v>72</v>
      </c>
    </row>
    <row r="20" customFormat="false" ht="15" hidden="false" customHeight="false" outlineLevel="0" collapsed="false">
      <c r="A20" s="7" t="s">
        <v>73</v>
      </c>
      <c r="B20" s="23" t="n">
        <f aca="false">IF(B19&gt;0,B16/B19,0)</f>
        <v>10935.9194178966</v>
      </c>
      <c r="C20" s="23" t="n">
        <f aca="false">IF(C19&gt;0,C16/C19,0)</f>
        <v>0</v>
      </c>
      <c r="D20" s="7" t="s">
        <v>74</v>
      </c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false" outlineLevel="0" collapsed="false">
      <c r="A22" s="4" t="s">
        <v>75</v>
      </c>
      <c r="B22" s="24" t="n">
        <f aca="false">IF(B19&gt;C19,(B16-C16)/(B19-C19),0)</f>
        <v>15917.0060020756</v>
      </c>
      <c r="C22" s="2"/>
      <c r="D22" s="7" t="s">
        <v>76</v>
      </c>
    </row>
    <row r="23" customFormat="false" ht="15" hidden="false" customHeight="false" outlineLevel="0" collapsed="false">
      <c r="A23" s="2"/>
      <c r="B23" s="2"/>
      <c r="C23" s="2"/>
      <c r="D23" s="2"/>
    </row>
    <row r="24" customFormat="false" ht="15" hidden="false" customHeight="false" outlineLevel="0" collapsed="false">
      <c r="A24" s="4" t="s">
        <v>77</v>
      </c>
      <c r="B24" s="2"/>
      <c r="C24" s="2"/>
      <c r="D24" s="2"/>
    </row>
    <row r="25" customFormat="false" ht="15" hidden="false" customHeight="false" outlineLevel="0" collapsed="false">
      <c r="A25" s="2"/>
      <c r="B25" s="6" t="s">
        <v>78</v>
      </c>
      <c r="C25" s="6" t="s">
        <v>79</v>
      </c>
      <c r="D25" s="6" t="s">
        <v>80</v>
      </c>
    </row>
    <row r="26" customFormat="false" ht="15" hidden="false" customHeight="false" outlineLevel="0" collapsed="false">
      <c r="A26" s="7" t="s">
        <v>47</v>
      </c>
      <c r="B26" s="16" t="n">
        <v>0.15</v>
      </c>
      <c r="C26" s="11" t="n">
        <f aca="false">B6</f>
        <v>0.15061</v>
      </c>
      <c r="D26" s="11" t="n">
        <f aca="false">C26-B26</f>
        <v>0.000610000000000027</v>
      </c>
    </row>
    <row r="27" customFormat="false" ht="15" hidden="false" customHeight="false" outlineLevel="0" collapsed="false">
      <c r="A27" s="7" t="s">
        <v>81</v>
      </c>
      <c r="B27" s="13" t="n">
        <v>1506</v>
      </c>
      <c r="C27" s="25" t="n">
        <f aca="false">B7</f>
        <v>1506.1</v>
      </c>
      <c r="D27" s="25" t="n">
        <f aca="false">C27-B27</f>
        <v>0.100000000000136</v>
      </c>
    </row>
    <row r="28" customFormat="false" ht="15" hidden="false" customHeight="false" outlineLevel="0" collapsed="false">
      <c r="A28" s="7" t="s">
        <v>82</v>
      </c>
      <c r="B28" s="13" t="n">
        <v>1280</v>
      </c>
      <c r="C28" s="25" t="n">
        <f aca="false">B14</f>
        <v>1280.185</v>
      </c>
      <c r="D28" s="25" t="n">
        <f aca="false">C28-B28</f>
        <v>0.185000000000173</v>
      </c>
    </row>
    <row r="29" customFormat="false" ht="15" hidden="false" customHeight="false" outlineLevel="0" collapsed="false">
      <c r="A29" s="7" t="s">
        <v>66</v>
      </c>
      <c r="B29" s="13" t="n">
        <v>1400</v>
      </c>
      <c r="C29" s="25" t="n">
        <f aca="false">B16</f>
        <v>1400</v>
      </c>
      <c r="D29" s="25" t="n">
        <f aca="false">C29-B29</f>
        <v>0</v>
      </c>
    </row>
    <row r="30" customFormat="false" ht="15" hidden="false" customHeight="false" outlineLevel="0" collapsed="false">
      <c r="A30" s="7" t="s">
        <v>83</v>
      </c>
      <c r="B30" s="26" t="n">
        <v>11000</v>
      </c>
      <c r="C30" s="10" t="n">
        <f aca="false">B20</f>
        <v>10935.9194178966</v>
      </c>
      <c r="D30" s="10" t="n">
        <f aca="false">C30-B30</f>
        <v>-64.0805821033682</v>
      </c>
    </row>
    <row r="31" customFormat="false" ht="15" hidden="false" customHeight="false" outlineLevel="0" collapsed="false">
      <c r="A31" s="7" t="s">
        <v>84</v>
      </c>
      <c r="B31" s="12" t="n">
        <v>0.27</v>
      </c>
      <c r="C31" s="27" t="n">
        <f aca="false">C11</f>
        <v>0.266</v>
      </c>
      <c r="D31" s="27" t="n">
        <f aca="false">C31-B31</f>
        <v>-0.004</v>
      </c>
    </row>
    <row r="32" customFormat="false" ht="15" hidden="false" customHeight="false" outlineLevel="0" collapsed="false">
      <c r="A32" s="7" t="s">
        <v>85</v>
      </c>
      <c r="B32" s="26" t="n">
        <v>16000</v>
      </c>
      <c r="C32" s="10" t="n">
        <f aca="false">B22</f>
        <v>15917.0060020756</v>
      </c>
      <c r="D32" s="10" t="n">
        <f aca="false">C32-B32</f>
        <v>-82.9939979244209</v>
      </c>
    </row>
    <row r="33" customFormat="false" ht="15" hidden="false" customHeight="false" outlineLevel="0" collapsed="false">
      <c r="A33" s="2"/>
      <c r="B33" s="2"/>
      <c r="C33" s="2"/>
      <c r="D33" s="2"/>
    </row>
    <row r="34" customFormat="false" ht="45" hidden="false" customHeight="true" outlineLevel="0" collapsed="false">
      <c r="A34" s="3" t="s">
        <v>86</v>
      </c>
      <c r="B34" s="2"/>
      <c r="C34" s="2"/>
      <c r="D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87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6" t="s">
        <v>45</v>
      </c>
      <c r="B3" s="6" t="s">
        <v>88</v>
      </c>
      <c r="C3" s="6" t="s">
        <v>89</v>
      </c>
      <c r="D3" s="6" t="s">
        <v>90</v>
      </c>
      <c r="E3" s="6" t="s">
        <v>91</v>
      </c>
    </row>
    <row r="4" customFormat="false" ht="15" hidden="false" customHeight="false" outlineLevel="0" collapsed="false">
      <c r="A4" s="26" t="n">
        <v>1000</v>
      </c>
      <c r="B4" s="22" t="n">
        <f aca="false">A4*Model!$B$6</f>
        <v>150.61</v>
      </c>
      <c r="C4" s="22" t="n">
        <f aca="false">B4*Model!$B$11-Model!$B$16</f>
        <v>-1271.9815</v>
      </c>
      <c r="D4" s="22" t="n">
        <f aca="false">B4*Model!$C$11+A4*Inputs!$B$31-Model!$C$16</f>
        <v>40.06226</v>
      </c>
      <c r="E4" s="2" t="str">
        <f aca="false">IF(C4&gt;D4,"Standalone","Roblox")</f>
        <v>Roblox</v>
      </c>
    </row>
    <row r="5" customFormat="false" ht="15" hidden="false" customHeight="false" outlineLevel="0" collapsed="false">
      <c r="A5" s="26" t="n">
        <v>2500</v>
      </c>
      <c r="B5" s="22" t="n">
        <f aca="false">A5*Model!$B$6</f>
        <v>376.525</v>
      </c>
      <c r="C5" s="22" t="n">
        <f aca="false">B5*Model!$B$11-Model!$B$16</f>
        <v>-1079.95375</v>
      </c>
      <c r="D5" s="22" t="n">
        <f aca="false">B5*Model!$C$11+A5*Inputs!$B$31-Model!$C$16</f>
        <v>100.15565</v>
      </c>
      <c r="E5" s="2" t="str">
        <f aca="false">IF(C5&gt;D5,"Standalone","Roblox")</f>
        <v>Roblox</v>
      </c>
    </row>
    <row r="6" customFormat="false" ht="15" hidden="false" customHeight="false" outlineLevel="0" collapsed="false">
      <c r="A6" s="26" t="n">
        <v>5000</v>
      </c>
      <c r="B6" s="22" t="n">
        <f aca="false">A6*Model!$B$6</f>
        <v>753.05</v>
      </c>
      <c r="C6" s="22" t="n">
        <f aca="false">B6*Model!$B$11-Model!$B$16</f>
        <v>-759.9075</v>
      </c>
      <c r="D6" s="22" t="n">
        <f aca="false">B6*Model!$C$11+A6*Inputs!$B$31-Model!$C$16</f>
        <v>200.3113</v>
      </c>
      <c r="E6" s="2" t="str">
        <f aca="false">IF(C6&gt;D6,"Standalone","Roblox")</f>
        <v>Roblox</v>
      </c>
    </row>
    <row r="7" customFormat="false" ht="15" hidden="false" customHeight="false" outlineLevel="0" collapsed="false">
      <c r="A7" s="26" t="n">
        <v>7500</v>
      </c>
      <c r="B7" s="22" t="n">
        <f aca="false">A7*Model!$B$6</f>
        <v>1129.575</v>
      </c>
      <c r="C7" s="22" t="n">
        <f aca="false">B7*Model!$B$11-Model!$B$16</f>
        <v>-439.86125</v>
      </c>
      <c r="D7" s="22" t="n">
        <f aca="false">B7*Model!$C$11+A7*Inputs!$B$31-Model!$C$16</f>
        <v>300.46695</v>
      </c>
      <c r="E7" s="2" t="str">
        <f aca="false">IF(C7&gt;D7,"Standalone","Roblox")</f>
        <v>Roblox</v>
      </c>
    </row>
    <row r="8" customFormat="false" ht="15" hidden="false" customHeight="false" outlineLevel="0" collapsed="false">
      <c r="A8" s="26" t="n">
        <v>10000</v>
      </c>
      <c r="B8" s="22" t="n">
        <f aca="false">A8*Model!$B$6</f>
        <v>1506.1</v>
      </c>
      <c r="C8" s="22" t="n">
        <f aca="false">B8*Model!$B$11-Model!$B$16</f>
        <v>-119.815</v>
      </c>
      <c r="D8" s="22" t="n">
        <f aca="false">B8*Model!$C$11+A8*Inputs!$B$31-Model!$C$16</f>
        <v>400.6226</v>
      </c>
      <c r="E8" s="2" t="str">
        <f aca="false">IF(C8&gt;D8,"Standalone","Roblox")</f>
        <v>Roblox</v>
      </c>
    </row>
    <row r="9" customFormat="false" ht="15" hidden="false" customHeight="false" outlineLevel="0" collapsed="false">
      <c r="A9" s="26" t="n">
        <v>12500</v>
      </c>
      <c r="B9" s="22" t="n">
        <f aca="false">A9*Model!$B$6</f>
        <v>1882.625</v>
      </c>
      <c r="C9" s="22" t="n">
        <f aca="false">B9*Model!$B$11-Model!$B$16</f>
        <v>200.23125</v>
      </c>
      <c r="D9" s="22" t="n">
        <f aca="false">B9*Model!$C$11+A9*Inputs!$B$31-Model!$C$16</f>
        <v>500.77825</v>
      </c>
      <c r="E9" s="2" t="str">
        <f aca="false">IF(C9&gt;D9,"Standalone","Roblox")</f>
        <v>Roblox</v>
      </c>
    </row>
    <row r="10" customFormat="false" ht="15" hidden="false" customHeight="false" outlineLevel="0" collapsed="false">
      <c r="A10" s="26" t="n">
        <v>15000</v>
      </c>
      <c r="B10" s="22" t="n">
        <f aca="false">A10*Model!$B$6</f>
        <v>2259.15</v>
      </c>
      <c r="C10" s="22" t="n">
        <f aca="false">B10*Model!$B$11-Model!$B$16</f>
        <v>520.2775</v>
      </c>
      <c r="D10" s="22" t="n">
        <f aca="false">B10*Model!$C$11+A10*Inputs!$B$31-Model!$C$16</f>
        <v>600.9339</v>
      </c>
      <c r="E10" s="2" t="str">
        <f aca="false">IF(C10&gt;D10,"Standalone","Roblox")</f>
        <v>Roblox</v>
      </c>
    </row>
    <row r="11" customFormat="false" ht="15" hidden="false" customHeight="false" outlineLevel="0" collapsed="false">
      <c r="A11" s="26" t="n">
        <v>16000</v>
      </c>
      <c r="B11" s="22" t="n">
        <f aca="false">A11*Model!$B$6</f>
        <v>2409.76</v>
      </c>
      <c r="C11" s="22" t="n">
        <f aca="false">B11*Model!$B$11-Model!$B$16</f>
        <v>648.296</v>
      </c>
      <c r="D11" s="22" t="n">
        <f aca="false">B11*Model!$C$11+A11*Inputs!$B$31-Model!$C$16</f>
        <v>640.99616</v>
      </c>
      <c r="E11" s="2" t="str">
        <f aca="false">IF(C11&gt;D11,"Standalone","Roblox")</f>
        <v>Standalone</v>
      </c>
    </row>
    <row r="12" customFormat="false" ht="15" hidden="false" customHeight="false" outlineLevel="0" collapsed="false">
      <c r="A12" s="26" t="n">
        <v>20000</v>
      </c>
      <c r="B12" s="22" t="n">
        <f aca="false">A12*Model!$B$6</f>
        <v>3012.2</v>
      </c>
      <c r="C12" s="22" t="n">
        <f aca="false">B12*Model!$B$11-Model!$B$16</f>
        <v>1160.37</v>
      </c>
      <c r="D12" s="22" t="n">
        <f aca="false">B12*Model!$C$11+A12*Inputs!$B$31-Model!$C$16</f>
        <v>801.2452</v>
      </c>
      <c r="E12" s="2" t="str">
        <f aca="false">IF(C12&gt;D12,"Standalone","Roblox")</f>
        <v>Standalone</v>
      </c>
    </row>
    <row r="13" customFormat="false" ht="15" hidden="false" customHeight="false" outlineLevel="0" collapsed="false">
      <c r="A13" s="26" t="n">
        <v>25000</v>
      </c>
      <c r="B13" s="22" t="n">
        <f aca="false">A13*Model!$B$6</f>
        <v>3765.25</v>
      </c>
      <c r="C13" s="22" t="n">
        <f aca="false">B13*Model!$B$11-Model!$B$16</f>
        <v>1800.4625</v>
      </c>
      <c r="D13" s="22" t="n">
        <f aca="false">B13*Model!$C$11+A13*Inputs!$B$31-Model!$C$16</f>
        <v>1001.5565</v>
      </c>
      <c r="E13" s="2" t="str">
        <f aca="false">IF(C13&gt;D13,"Standalone","Roblox")</f>
        <v>Standalone</v>
      </c>
    </row>
    <row r="14" customFormat="false" ht="15" hidden="false" customHeight="false" outlineLevel="0" collapsed="false">
      <c r="A14" s="26" t="n">
        <v>30000</v>
      </c>
      <c r="B14" s="22" t="n">
        <f aca="false">A14*Model!$B$6</f>
        <v>4518.3</v>
      </c>
      <c r="C14" s="22" t="n">
        <f aca="false">B14*Model!$B$11-Model!$B$16</f>
        <v>2440.555</v>
      </c>
      <c r="D14" s="22" t="n">
        <f aca="false">B14*Model!$C$11+A14*Inputs!$B$31-Model!$C$16</f>
        <v>1201.8678</v>
      </c>
      <c r="E14" s="2" t="str">
        <f aca="false">IF(C14&gt;D14,"Standalone","Roblox")</f>
        <v>Standalone</v>
      </c>
    </row>
    <row r="15" customFormat="false" ht="15" hidden="false" customHeight="false" outlineLevel="0" collapsed="false">
      <c r="A15" s="26" t="n">
        <v>40000</v>
      </c>
      <c r="B15" s="22" t="n">
        <f aca="false">A15*Model!$B$6</f>
        <v>6024.4</v>
      </c>
      <c r="C15" s="22" t="n">
        <f aca="false">B15*Model!$B$11-Model!$B$16</f>
        <v>3720.74</v>
      </c>
      <c r="D15" s="22" t="n">
        <f aca="false">B15*Model!$C$11+A15*Inputs!$B$31-Model!$C$16</f>
        <v>1602.4904</v>
      </c>
      <c r="E15" s="2" t="str">
        <f aca="false">IF(C15&gt;D15,"Standalone","Roblox")</f>
        <v>Standalone</v>
      </c>
    </row>
    <row r="16" customFormat="false" ht="15" hidden="false" customHeight="false" outlineLevel="0" collapsed="false">
      <c r="A16" s="26" t="n">
        <v>50000</v>
      </c>
      <c r="B16" s="22" t="n">
        <f aca="false">A16*Model!$B$6</f>
        <v>7530.5</v>
      </c>
      <c r="C16" s="22" t="n">
        <f aca="false">B16*Model!$B$11-Model!$B$16</f>
        <v>5000.925</v>
      </c>
      <c r="D16" s="22" t="n">
        <f aca="false">B16*Model!$C$11+A16*Inputs!$B$31-Model!$C$16</f>
        <v>2003.113</v>
      </c>
      <c r="E16" s="2" t="str">
        <f aca="false">IF(C16&gt;D16,"Standalone","Roblox")</f>
        <v>Standalone</v>
      </c>
    </row>
    <row r="17" customFormat="false" ht="15" hidden="false" customHeight="false" outlineLevel="0" collapsed="false">
      <c r="A17" s="26" t="n">
        <v>75000</v>
      </c>
      <c r="B17" s="22" t="n">
        <f aca="false">A17*Model!$B$6</f>
        <v>11295.75</v>
      </c>
      <c r="C17" s="22" t="n">
        <f aca="false">B17*Model!$B$11-Model!$B$16</f>
        <v>8201.3875</v>
      </c>
      <c r="D17" s="22" t="n">
        <f aca="false">B17*Model!$C$11+A17*Inputs!$B$31-Model!$C$16</f>
        <v>3004.6695</v>
      </c>
      <c r="E17" s="2" t="str">
        <f aca="false">IF(C17&gt;D17,"Standalone","Roblox")</f>
        <v>Standalone</v>
      </c>
    </row>
    <row r="18" customFormat="false" ht="15" hidden="false" customHeight="false" outlineLevel="0" collapsed="false">
      <c r="A18" s="26" t="n">
        <v>100000</v>
      </c>
      <c r="B18" s="22" t="n">
        <f aca="false">A18*Model!$B$6</f>
        <v>15061</v>
      </c>
      <c r="C18" s="22" t="n">
        <f aca="false">B18*Model!$B$11-Model!$B$16</f>
        <v>11401.85</v>
      </c>
      <c r="D18" s="22" t="n">
        <f aca="false">B18*Model!$C$11+A18*Inputs!$B$31-Model!$C$16</f>
        <v>4006.226</v>
      </c>
      <c r="E18" s="2" t="str">
        <f aca="false">IF(C18&gt;D18,"Standalone","Roblox")</f>
        <v>Standalone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3" t="s">
        <v>92</v>
      </c>
    </row>
    <row r="2" customFormat="false" ht="26.85" hidden="false" customHeight="false" outlineLevel="0" collapsed="false">
      <c r="A2" s="3" t="s">
        <v>93</v>
      </c>
    </row>
    <row r="3" customFormat="false" ht="15" hidden="false" customHeight="false" outlineLevel="0" collapsed="false">
      <c r="A3" s="3" t="s">
        <v>94</v>
      </c>
    </row>
    <row r="4" customFormat="false" ht="15" hidden="false" customHeight="false" outlineLevel="0" collapsed="false">
      <c r="A4" s="3" t="s">
        <v>95</v>
      </c>
    </row>
    <row r="5" customFormat="false" ht="26.85" hidden="false" customHeight="false" outlineLevel="0" collapsed="false">
      <c r="A5" s="3" t="s">
        <v>96</v>
      </c>
    </row>
    <row r="6" customFormat="false" ht="26.85" hidden="false" customHeight="false" outlineLevel="0" collapsed="false">
      <c r="A6" s="3" t="s">
        <v>97</v>
      </c>
    </row>
    <row r="7" customFormat="false" ht="15" hidden="false" customHeight="false" outlineLevel="0" collapsed="false">
      <c r="A7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2026-10-04T11:02:30Z</dcterms:created>
  <dc:creator>openpyxl</dc:creator>
  <dc:description/>
  <dc:language>en-US</dc:language>
  <cp:lastModifiedBy/>
  <dcterms:modified xsi:type="dcterms:W3CDTF">2026-10-04T11:02:30Z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